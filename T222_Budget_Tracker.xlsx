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Line Items" sheetId="2" state="visible" r:id="rId4"/>
    <sheet name="Summary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<sst xmlns="http://schemas.openxmlformats.org/spreadsheetml/2006/main" count="161" uniqueCount="104">
  <si>
    <t xml:space="preserve">Troop 222 · 50-Miler Budget — Configuration</t>
  </si>
  <si>
    <t xml:space="preserve">Edit the BLUE cells only — everything else recalculates automatically</t>
  </si>
  <si>
    <t xml:space="preserve">OVERALL BUDGET</t>
  </si>
  <si>
    <t xml:space="preserve">Total participants</t>
  </si>
  <si>
    <t xml:space="preserve">Fee per person ($)</t>
  </si>
  <si>
    <t xml:space="preserve">Total budget ($)</t>
  </si>
  <si>
    <t xml:space="preserve">Daily food rate — est. ($)</t>
  </si>
  <si>
    <t xml:space="preserve">TRIP CONFIGURATION</t>
  </si>
  <si>
    <t xml:space="preserve">Trip ID</t>
  </si>
  <si>
    <t xml:space="preserve">Name</t>
  </si>
  <si>
    <t xml:space="preserve">Attendees</t>
  </si>
  <si>
    <t xml:space="preserve">Days</t>
  </si>
  <si>
    <t xml:space="preserve">Status</t>
  </si>
  <si>
    <t xml:space="preserve">Rate Override ($)</t>
  </si>
  <si>
    <t xml:space="preserve">hike1</t>
  </si>
  <si>
    <t xml:space="preserve">Point Reyes</t>
  </si>
  <si>
    <t xml:space="preserve">done</t>
  </si>
  <si>
    <t xml:space="preserve">hike2</t>
  </si>
  <si>
    <t xml:space="preserve">Spring Prep / Ohlone</t>
  </si>
  <si>
    <t xml:space="preserve">active</t>
  </si>
  <si>
    <t xml:space="preserve">hike3</t>
  </si>
  <si>
    <t xml:space="preserve">La Honda</t>
  </si>
  <si>
    <t xml:space="preserve">upcoming</t>
  </si>
  <si>
    <t xml:space="preserve">hs</t>
  </si>
  <si>
    <t xml:space="preserve">High Sierra 50-Miler</t>
  </si>
  <si>
    <t xml:space="preserve">Budget Line Items — add new rows here</t>
  </si>
  <si>
    <t xml:space="preserve">Blue cells = inputs you edit  ·  Black cells = auto-calculated  ·  Add a new row by copying the last data row</t>
  </si>
  <si>
    <t xml:space="preserve">Trip</t>
  </si>
  <si>
    <t xml:space="preserve">Category</t>
  </si>
  <si>
    <t xml:space="preserve">Detail</t>
  </si>
  <si>
    <t xml:space="preserve">Amount ($)</t>
  </si>
  <si>
    <t xml:space="preserve">$/Person/Day</t>
  </si>
  <si>
    <t xml:space="preserve">Food</t>
  </si>
  <si>
    <t xml:space="preserve">Amazon Order 1 (Kerri Atkins)</t>
  </si>
  <si>
    <t xml:space="preserve">CONFIRMED</t>
  </si>
  <si>
    <t xml:space="preserve">Amazon Order 2 (Kerri Atkins)</t>
  </si>
  <si>
    <t xml:space="preserve">REI — Mountain House Chicken Alfredo ×7</t>
  </si>
  <si>
    <t xml:space="preserve">Gear</t>
  </si>
  <si>
    <t xml:space="preserve">Buddy Food Bags (reusable all hikes)</t>
  </si>
  <si>
    <t xml:space="preserve">—</t>
  </si>
  <si>
    <t xml:space="preserve">Campsite</t>
  </si>
  <si>
    <t xml:space="preserve">Wildcat 002 — 1 night (Diego Paese)</t>
  </si>
  <si>
    <t xml:space="preserve">TBD</t>
  </si>
  <si>
    <t xml:space="preserve">Wildcat 003 — 1 night (Diego Paese)</t>
  </si>
  <si>
    <t xml:space="preserve">Coast 013 — 1 night (Diego Paese)</t>
  </si>
  <si>
    <t xml:space="preserve">Firewood + extra tent stakes (Diego Paese)</t>
  </si>
  <si>
    <t xml:space="preserve">Peak Refuel (freeze-dried meals)</t>
  </si>
  <si>
    <t xml:space="preserve">Amazon (bars, snacks, chicken, PB)</t>
  </si>
  <si>
    <t xml:space="preserve">Sports Basement (Krave jerky)</t>
  </si>
  <si>
    <t xml:space="preserve">Walmart (Gatorade, Swiss Miss, Idahoan)</t>
  </si>
  <si>
    <t xml:space="preserve">Sprouts/Instacart (allergy scout items)</t>
  </si>
  <si>
    <t xml:space="preserve">Additional purchases — PLACEHOLDER (not yet bought)</t>
  </si>
  <si>
    <t xml:space="preserve">PENDING</t>
  </si>
  <si>
    <t xml:space="preserve">Estimated food — $19.50/person/day × 3 days × 26</t>
  </si>
  <si>
    <t xml:space="preserve">ESTIMATED</t>
  </si>
  <si>
    <t xml:space="preserve">Campsite fees — TBD pending route confirmation</t>
  </si>
  <si>
    <t xml:space="preserve">Estimated food — $19.50/person/day × 7 days × 26</t>
  </si>
  <si>
    <t xml:space="preserve">Permits</t>
  </si>
  <si>
    <t xml:space="preserve">Inyo NF wilderness permits (recreation.gov)</t>
  </si>
  <si>
    <t xml:space="preserve">Sabrina Campground + fees</t>
  </si>
  <si>
    <t xml:space="preserve">Other</t>
  </si>
  <si>
    <t xml:space="preserve">Shuttles, firewood, misc logistics</t>
  </si>
  <si>
    <t xml:space="preserve">CONFIRMED SPEND</t>
  </si>
  <si>
    <t xml:space="preserve">Amazon ×2 + REI + Buddy Bags + Peak + Amazon + SB + Walmart + Sprouts</t>
  </si>
  <si>
    <t xml:space="preserve">PENDING SPEND</t>
  </si>
  <si>
    <t xml:space="preserve">ESTIMATED (future)</t>
  </si>
  <si>
    <t xml:space="preserve">TOTAL PROJECTED SPEND</t>
  </si>
  <si>
    <t xml:space="preserve">TOTAL BUDGET</t>
  </si>
  <si>
    <t xml:space="preserve">PROJECTED GAP  (negative = shortfall)</t>
  </si>
  <si>
    <t xml:space="preserve">Troop 222 · 50-Miler Budget Summary</t>
  </si>
  <si>
    <t xml:space="preserve">All numbers pull live from Line Items sheet — edit data there, not here</t>
  </si>
  <si>
    <t xml:space="preserve">KEY METRICS</t>
  </si>
  <si>
    <t xml:space="preserve">Total Budget</t>
  </si>
  <si>
    <t xml:space="preserve">Confirmed Spent</t>
  </si>
  <si>
    <t xml:space="preserve">Pending</t>
  </si>
  <si>
    <t xml:space="preserve">Estimated Future</t>
  </si>
  <si>
    <t xml:space="preserve">Total Projected</t>
  </si>
  <si>
    <t xml:space="preserve">Projected Gap</t>
  </si>
  <si>
    <t xml:space="preserve">PER TRIP BREAKDOWN</t>
  </si>
  <si>
    <t xml:space="preserve">Total ($)</t>
  </si>
  <si>
    <t xml:space="preserve">$/Person</t>
  </si>
  <si>
    <t xml:space="preserve">Done ✓</t>
  </si>
  <si>
    <t xml:space="preserve">Current ●</t>
  </si>
  <si>
    <t xml:space="preserve">Upcoming</t>
  </si>
  <si>
    <t xml:space="preserve">Main Event</t>
  </si>
  <si>
    <t xml:space="preserve">Projected total per person (26 payers)</t>
  </si>
  <si>
    <t xml:space="preserve">Budget per person:</t>
  </si>
  <si>
    <t xml:space="preserve">How to Use This Budget Tracker</t>
  </si>
  <si>
    <t xml:space="preserve">BLUE CELLS</t>
  </si>
  <si>
    <t xml:space="preserve">These are your inputs — change them freely. Daily rate, attendees per trip, fee per person.</t>
  </si>
  <si>
    <t xml:space="preserve">Add a receipt</t>
  </si>
  <si>
    <t xml:space="preserve">Go to 'Line Items' sheet. Add a new row at the bottom. Set Trip to match the trip name (e.g. 'Point Reyes'), fill in Category, Detail, Amount, Status.</t>
  </si>
  <si>
    <t xml:space="preserve">Change status</t>
  </si>
  <si>
    <t xml:space="preserve">In Column E of Line Items, change 'estimated' → 'confirmed' once you've actually spent the money. The Summary sheet updates automatically.</t>
  </si>
  <si>
    <t xml:space="preserve">Change daily rate</t>
  </si>
  <si>
    <t xml:space="preserve">Go to Config sheet, change B8. All estimated food rows recalculate automatically.</t>
  </si>
  <si>
    <t xml:space="preserve">Change attendees</t>
  </si>
  <si>
    <t xml:space="preserve">Go to Config sheet, change Column C for the relevant trip. Per-person costs update everywhere.</t>
  </si>
  <si>
    <t xml:space="preserve">Add a new trip</t>
  </si>
  <si>
    <t xml:space="preserve">Add a row to the Config sheet trip table. Then add line items in Line Items with the matching trip name.</t>
  </si>
  <si>
    <t xml:space="preserve">Connect to web page</t>
  </si>
  <si>
    <t xml:space="preserve">Publish this sheet: File → Share → Publish to web → CSV. Give the URL to your developer to connect the Budget Tracker HTML page.</t>
  </si>
  <si>
    <t xml:space="preserve">Color codes</t>
  </si>
  <si>
    <t xml:space="preserve">GREEN = confirmed spend  |  ORANGE = pending  |  BLUE = estimated  |  GREY = TBD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</si>
</sst>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General"/>
    <numFmt numFmtId="167" formatCode="[$$-409]#,##0.00;[RED]\-[$$-409]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5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4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14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4A6741"/>
      <name val="Arial"/>
      <family val="0"/>
      <charset val="1"/>
    </font>
    <font>
      <i val="true"/>
      <sz val="10"/>
      <color rgb="FF6B5040"/>
      <name val="Arial"/>
      <family val="0"/>
      <charset val="1"/>
    </font>
    <font>
      <b val="true"/>
      <sz val="9"/>
      <color rgb="FF6B5040"/>
      <name val="Arial"/>
      <family val="0"/>
      <charset val="1"/>
    </font>
    <font>
      <b val="true"/>
      <sz val="9"/>
      <color rgb="FF7B5A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D332A"/>
      <name val="Arial"/>
      <family val="0"/>
      <charset val="1"/>
    </font>
    <font>
      <b val="true"/>
      <sz val="11"/>
      <color rgb="FF4A6741"/>
      <name val="Arial"/>
      <family val="0"/>
      <charset val="1"/>
    </font>
    <font>
      <b val="true"/>
      <sz val="12"/>
      <color rgb="FF4A6741"/>
      <name val="Arial"/>
      <family val="0"/>
      <charset val="1"/>
    </font>
    <font>
      <b val="true"/>
      <sz val="12"/>
      <color rgb="FFC84820"/>
      <name val="Arial"/>
      <family val="0"/>
      <charset val="1"/>
    </font>
    <font>
      <b val="true"/>
      <sz val="12"/>
      <color rgb="FF7B5A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3D332A"/>
      <name val="Arial"/>
      <family val="0"/>
      <charset val="1"/>
    </font>
    <font>
      <b val="true"/>
      <sz val="10"/>
      <color rgb="FF4A6741"/>
      <name val="Arial"/>
      <family val="0"/>
      <charset val="1"/>
    </font>
    <font>
      <b val="true"/>
      <sz val="10"/>
      <color rgb="FFC8482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D332A"/>
      <name val="Arial"/>
      <family val="0"/>
      <charset val="1"/>
    </font>
    <font>
      <b val="true"/>
      <sz val="10"/>
      <color rgb="FF6B504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3D332A"/>
        <bgColor rgb="FF1A1410"/>
      </patternFill>
    </fill>
    <fill>
      <patternFill patternType="solid">
        <fgColor rgb="FFFFF3CD"/>
        <bgColor rgb="FFF5EDD8"/>
      </patternFill>
    </fill>
    <fill>
      <patternFill patternType="solid">
        <fgColor rgb="FFF5EDD8"/>
        <bgColor rgb="FFF0E8D5"/>
      </patternFill>
    </fill>
    <fill>
      <patternFill patternType="solid">
        <fgColor rgb="FF6B5040"/>
        <bgColor rgb="FF7B5A00"/>
      </patternFill>
    </fill>
    <fill>
      <patternFill patternType="solid">
        <fgColor rgb="FFEDF5E8"/>
        <bgColor rgb="FFF5F5F5"/>
      </patternFill>
    </fill>
    <fill>
      <patternFill patternType="solid">
        <fgColor rgb="FFFDE8D8"/>
        <bgColor rgb="FFF5EDD8"/>
      </patternFill>
    </fill>
    <fill>
      <patternFill patternType="solid">
        <fgColor rgb="FFE8F0F5"/>
        <bgColor rgb="FFEDF5E8"/>
      </patternFill>
    </fill>
    <fill>
      <patternFill patternType="solid">
        <fgColor rgb="FFF5F5F5"/>
        <bgColor rgb="FFEDF5E8"/>
      </patternFill>
    </fill>
    <fill>
      <patternFill patternType="solid">
        <fgColor rgb="FFFFF8ED"/>
        <bgColor rgb="FFF5F5F5"/>
      </patternFill>
    </fill>
    <fill>
      <patternFill patternType="solid">
        <fgColor rgb="FF4A6741"/>
        <bgColor rgb="FF6B5040"/>
      </patternFill>
    </fill>
    <fill>
      <patternFill patternType="solid">
        <fgColor rgb="FF7B5A00"/>
        <bgColor rgb="FF6B5040"/>
      </patternFill>
    </fill>
    <fill>
      <patternFill patternType="solid">
        <fgColor rgb="FF1F4E79"/>
        <bgColor rgb="FF003366"/>
      </patternFill>
    </fill>
    <fill>
      <patternFill patternType="solid">
        <fgColor rgb="FFC84820"/>
        <bgColor rgb="FF993366"/>
      </patternFill>
    </fill>
    <fill>
      <patternFill patternType="solid">
        <fgColor rgb="FFF0E8D5"/>
        <bgColor rgb="FFF5ED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  <border diagonalUp="false" diagonalDown="false">
      <left style="thin">
        <color rgb="FFD0C8BC"/>
      </left>
      <right/>
      <top style="thin">
        <color rgb="FFD0C8BC"/>
      </top>
      <bottom style="thin">
        <color rgb="FFD0C8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A00"/>
      <rgbColor rgb="FF800080"/>
      <rgbColor rgb="FF008080"/>
      <rgbColor rgb="FFD0C8BC"/>
      <rgbColor rgb="FF808080"/>
      <rgbColor rgb="FF9999FF"/>
      <rgbColor rgb="FF6B5040"/>
      <rgbColor rgb="FFFFF3CD"/>
      <rgbColor rgb="FFE8F0F5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5E8"/>
      <rgbColor rgb="FFF0E8D5"/>
      <rgbColor rgb="FFF5EDD8"/>
      <rgbColor rgb="FFFFF8ED"/>
      <rgbColor rgb="FFFF99CC"/>
      <rgbColor rgb="FFCC99FF"/>
      <rgbColor rgb="FFFDE8D8"/>
      <rgbColor rgb="FF3366FF"/>
      <rgbColor rgb="FF33CCCC"/>
      <rgbColor rgb="FF99CC00"/>
      <rgbColor rgb="FFFFCC00"/>
      <rgbColor rgb="FFFF9900"/>
      <rgbColor rgb="FFFF6600"/>
      <rgbColor rgb="FF4A6741"/>
      <rgbColor rgb="FF969696"/>
      <rgbColor rgb="FF003366"/>
      <rgbColor rgb="FF339966"/>
      <rgbColor rgb="FF003300"/>
      <rgbColor rgb="FF1A1410"/>
      <rgbColor rgb="FFC84820"/>
      <rgbColor rgb="FF993366"/>
      <rgbColor rgb="FF1F4E79"/>
      <rgbColor rgb="FF3D3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26</v>
      </c>
      <c r="C5" s="7"/>
      <c r="D5" s="7"/>
      <c r="E5" s="7"/>
      <c r="F5" s="7"/>
    </row>
    <row r="6" customFormat="false" ht="15" hidden="false" customHeight="true" outlineLevel="0" collapsed="false">
      <c r="A6" s="5" t="s">
        <v>4</v>
      </c>
      <c r="B6" s="8" t="n">
        <v>250</v>
      </c>
      <c r="C6" s="7"/>
      <c r="D6" s="7"/>
      <c r="E6" s="7"/>
      <c r="F6" s="7"/>
    </row>
    <row r="7" customFormat="false" ht="15" hidden="false" customHeight="true" outlineLevel="0" collapsed="false">
      <c r="A7" s="5" t="s">
        <v>5</v>
      </c>
      <c r="B7" s="9" t="n">
        <f aca="false">B5*B6</f>
        <v>6500</v>
      </c>
      <c r="C7" s="7"/>
      <c r="D7" s="7"/>
      <c r="E7" s="7"/>
      <c r="F7" s="7"/>
    </row>
    <row r="8" customFormat="false" ht="15" hidden="false" customHeight="true" outlineLevel="0" collapsed="false">
      <c r="A8" s="5" t="s">
        <v>6</v>
      </c>
      <c r="B8" s="8" t="n">
        <v>19.5</v>
      </c>
      <c r="C8" s="7"/>
      <c r="D8" s="7"/>
      <c r="E8" s="7"/>
      <c r="F8" s="7"/>
    </row>
    <row r="10" customFormat="false" ht="15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10" t="s">
        <v>8</v>
      </c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</row>
    <row r="12" customFormat="false" ht="15" hidden="false" customHeight="true" outlineLevel="0" collapsed="false">
      <c r="A12" s="11" t="s">
        <v>14</v>
      </c>
      <c r="B12" s="11" t="s">
        <v>15</v>
      </c>
      <c r="C12" s="12" t="n">
        <v>14</v>
      </c>
      <c r="D12" s="12" t="n">
        <v>2</v>
      </c>
      <c r="E12" s="13" t="s">
        <v>16</v>
      </c>
      <c r="F12" s="14"/>
    </row>
    <row r="13" customFormat="false" ht="15" hidden="false" customHeight="true" outlineLevel="0" collapsed="false">
      <c r="A13" s="15" t="s">
        <v>17</v>
      </c>
      <c r="B13" s="15" t="s">
        <v>18</v>
      </c>
      <c r="C13" s="16" t="n">
        <v>26</v>
      </c>
      <c r="D13" s="16" t="n">
        <v>3</v>
      </c>
      <c r="E13" s="17" t="s">
        <v>19</v>
      </c>
      <c r="F13" s="18"/>
    </row>
    <row r="14" customFormat="false" ht="15" hidden="false" customHeight="true" outlineLevel="0" collapsed="false">
      <c r="A14" s="19" t="s">
        <v>20</v>
      </c>
      <c r="B14" s="19" t="s">
        <v>21</v>
      </c>
      <c r="C14" s="20" t="n">
        <v>26</v>
      </c>
      <c r="D14" s="20" t="n">
        <v>3</v>
      </c>
      <c r="E14" s="21" t="s">
        <v>22</v>
      </c>
      <c r="F14" s="22"/>
    </row>
    <row r="15" customFormat="false" ht="15" hidden="false" customHeight="true" outlineLevel="0" collapsed="false">
      <c r="A15" s="19" t="s">
        <v>23</v>
      </c>
      <c r="B15" s="19" t="s">
        <v>24</v>
      </c>
      <c r="C15" s="20" t="n">
        <v>26</v>
      </c>
      <c r="D15" s="20" t="n">
        <v>7</v>
      </c>
      <c r="E15" s="21" t="s">
        <v>22</v>
      </c>
      <c r="F15" s="22"/>
    </row>
  </sheetData>
  <mergeCells count="8">
    <mergeCell ref="A1:F1"/>
    <mergeCell ref="A2:F2"/>
    <mergeCell ref="A4:F4"/>
    <mergeCell ref="C5:F5"/>
    <mergeCell ref="C6:F6"/>
    <mergeCell ref="C7:F7"/>
    <mergeCell ref="C8:F8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8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3" t="s">
        <v>25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3" t="s">
        <v>26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12</v>
      </c>
      <c r="F3" s="10" t="s">
        <v>10</v>
      </c>
      <c r="G3" s="10" t="s">
        <v>11</v>
      </c>
      <c r="H3" s="10" t="s">
        <v>31</v>
      </c>
    </row>
    <row r="4" customFormat="false" ht="15" hidden="false" customHeight="true" outlineLevel="0" collapsed="false">
      <c r="A4" s="11" t="str">
        <f aca="false">Config!B13</f>
        <v>Spring Prep / Ohlone</v>
      </c>
      <c r="B4" s="11" t="s">
        <v>32</v>
      </c>
      <c r="C4" s="24" t="s">
        <v>33</v>
      </c>
      <c r="D4" s="25" t="n">
        <v>183.73</v>
      </c>
      <c r="E4" s="26" t="s">
        <v>34</v>
      </c>
      <c r="F4" s="13" t="n">
        <f aca="false">Config!C13</f>
        <v>26</v>
      </c>
      <c r="G4" s="13" t="n">
        <f aca="false">Config!D13</f>
        <v>3</v>
      </c>
      <c r="H4" s="27" t="n">
        <f aca="false">IF(AND(ISNUMBER(D4),F4&gt;0,G4&gt;0),D4/(F4*G4),"")</f>
        <v>2.35551282051282</v>
      </c>
    </row>
    <row r="5" customFormat="false" ht="15" hidden="false" customHeight="true" outlineLevel="0" collapsed="false">
      <c r="A5" s="11" t="str">
        <f aca="false">Config!B13</f>
        <v>Spring Prep / Ohlone</v>
      </c>
      <c r="B5" s="11" t="s">
        <v>32</v>
      </c>
      <c r="C5" s="24" t="s">
        <v>35</v>
      </c>
      <c r="D5" s="25" t="n">
        <v>444.89</v>
      </c>
      <c r="E5" s="26" t="s">
        <v>34</v>
      </c>
      <c r="F5" s="13" t="n">
        <f aca="false">Config!C13</f>
        <v>26</v>
      </c>
      <c r="G5" s="13" t="n">
        <f aca="false">Config!D13</f>
        <v>3</v>
      </c>
      <c r="H5" s="27" t="n">
        <f aca="false">IF(AND(ISNUMBER(D5),F5&gt;0,G5&gt;0),D5/(F5*G5),"")</f>
        <v>5.70371794871795</v>
      </c>
    </row>
    <row r="6" customFormat="false" ht="15" hidden="false" customHeight="true" outlineLevel="0" collapsed="false">
      <c r="A6" s="11" t="str">
        <f aca="false">Config!B13</f>
        <v>Spring Prep / Ohlone</v>
      </c>
      <c r="B6" s="11" t="s">
        <v>32</v>
      </c>
      <c r="C6" s="24" t="s">
        <v>36</v>
      </c>
      <c r="D6" s="25" t="n">
        <v>97.65</v>
      </c>
      <c r="E6" s="26" t="s">
        <v>34</v>
      </c>
      <c r="F6" s="13" t="n">
        <f aca="false">Config!C13</f>
        <v>26</v>
      </c>
      <c r="G6" s="13" t="n">
        <f aca="false">Config!D13</f>
        <v>3</v>
      </c>
      <c r="H6" s="27" t="n">
        <f aca="false">IF(AND(ISNUMBER(D6),F6&gt;0,G6&gt;0),D6/(F6*G6),"")</f>
        <v>1.25192307692308</v>
      </c>
    </row>
    <row r="7" customFormat="false" ht="15" hidden="false" customHeight="true" outlineLevel="0" collapsed="false">
      <c r="A7" s="11" t="str">
        <f aca="false">Config!B13</f>
        <v>Spring Prep / Ohlone</v>
      </c>
      <c r="B7" s="11" t="s">
        <v>37</v>
      </c>
      <c r="C7" s="24" t="s">
        <v>38</v>
      </c>
      <c r="D7" s="25" t="n">
        <v>119.22</v>
      </c>
      <c r="E7" s="26" t="s">
        <v>34</v>
      </c>
      <c r="F7" s="13" t="n">
        <f aca="false">Config!C13</f>
        <v>26</v>
      </c>
      <c r="G7" s="13" t="n">
        <f aca="false">Config!D13</f>
        <v>3</v>
      </c>
      <c r="H7" s="28" t="s">
        <v>39</v>
      </c>
    </row>
    <row r="8" customFormat="false" ht="15" hidden="false" customHeight="true" outlineLevel="0" collapsed="false">
      <c r="A8" s="29" t="str">
        <f aca="false">Config!B13</f>
        <v>Spring Prep / Ohlone</v>
      </c>
      <c r="B8" s="29" t="s">
        <v>40</v>
      </c>
      <c r="C8" s="30" t="s">
        <v>41</v>
      </c>
      <c r="D8" s="31" t="s">
        <v>42</v>
      </c>
      <c r="E8" s="32" t="s">
        <v>42</v>
      </c>
      <c r="F8" s="33" t="n">
        <f aca="false">Config!C13</f>
        <v>26</v>
      </c>
      <c r="G8" s="33" t="n">
        <f aca="false">Config!D13</f>
        <v>3</v>
      </c>
      <c r="H8" s="34" t="s">
        <v>39</v>
      </c>
    </row>
    <row r="9" customFormat="false" ht="15" hidden="false" customHeight="true" outlineLevel="0" collapsed="false">
      <c r="A9" s="29" t="str">
        <f aca="false">Config!B13</f>
        <v>Spring Prep / Ohlone</v>
      </c>
      <c r="B9" s="29" t="s">
        <v>40</v>
      </c>
      <c r="C9" s="30" t="s">
        <v>43</v>
      </c>
      <c r="D9" s="31" t="s">
        <v>42</v>
      </c>
      <c r="E9" s="32" t="s">
        <v>42</v>
      </c>
      <c r="F9" s="33" t="n">
        <f aca="false">Config!C13</f>
        <v>26</v>
      </c>
      <c r="G9" s="33" t="n">
        <f aca="false">Config!D13</f>
        <v>3</v>
      </c>
      <c r="H9" s="34" t="s">
        <v>39</v>
      </c>
    </row>
    <row r="10" customFormat="false" ht="15" hidden="false" customHeight="true" outlineLevel="0" collapsed="false">
      <c r="A10" s="29" t="str">
        <f aca="false">Config!B13</f>
        <v>Spring Prep / Ohlone</v>
      </c>
      <c r="B10" s="29" t="s">
        <v>40</v>
      </c>
      <c r="C10" s="30" t="s">
        <v>44</v>
      </c>
      <c r="D10" s="31" t="s">
        <v>42</v>
      </c>
      <c r="E10" s="32" t="s">
        <v>42</v>
      </c>
      <c r="F10" s="33" t="n">
        <f aca="false">Config!C13</f>
        <v>26</v>
      </c>
      <c r="G10" s="33" t="n">
        <f aca="false">Config!D13</f>
        <v>3</v>
      </c>
      <c r="H10" s="34" t="s">
        <v>39</v>
      </c>
    </row>
    <row r="11" customFormat="false" ht="15" hidden="false" customHeight="true" outlineLevel="0" collapsed="false">
      <c r="A11" s="29" t="str">
        <f aca="false">Config!B13</f>
        <v>Spring Prep / Ohlone</v>
      </c>
      <c r="B11" s="29" t="s">
        <v>37</v>
      </c>
      <c r="C11" s="30" t="s">
        <v>45</v>
      </c>
      <c r="D11" s="31" t="s">
        <v>42</v>
      </c>
      <c r="E11" s="32" t="s">
        <v>42</v>
      </c>
      <c r="F11" s="33" t="n">
        <f aca="false">Config!C13</f>
        <v>26</v>
      </c>
      <c r="G11" s="33" t="n">
        <f aca="false">Config!D13</f>
        <v>3</v>
      </c>
      <c r="H11" s="34" t="s">
        <v>39</v>
      </c>
    </row>
    <row r="12" customFormat="false" ht="15" hidden="false" customHeight="true" outlineLevel="0" collapsed="false">
      <c r="A12" s="11" t="str">
        <f aca="false">Config!B14</f>
        <v>La Honda</v>
      </c>
      <c r="B12" s="11" t="s">
        <v>32</v>
      </c>
      <c r="C12" s="24" t="s">
        <v>46</v>
      </c>
      <c r="D12" s="25" t="n">
        <v>519.6</v>
      </c>
      <c r="E12" s="26" t="s">
        <v>34</v>
      </c>
      <c r="F12" s="13" t="n">
        <f aca="false">Config!C14</f>
        <v>26</v>
      </c>
      <c r="G12" s="13" t="n">
        <f aca="false">Config!D14</f>
        <v>3</v>
      </c>
      <c r="H12" s="27" t="n">
        <f aca="false">IF(AND(ISNUMBER(D12),F12&gt;0,G12&gt;0),D12/(F12*G12),"")</f>
        <v>6.66153846153846</v>
      </c>
    </row>
    <row r="13" customFormat="false" ht="15" hidden="false" customHeight="true" outlineLevel="0" collapsed="false">
      <c r="A13" s="11" t="str">
        <f aca="false">Config!B14</f>
        <v>La Honda</v>
      </c>
      <c r="B13" s="11" t="s">
        <v>32</v>
      </c>
      <c r="C13" s="24" t="s">
        <v>47</v>
      </c>
      <c r="D13" s="25" t="n">
        <v>383.23</v>
      </c>
      <c r="E13" s="26" t="s">
        <v>34</v>
      </c>
      <c r="F13" s="13" t="n">
        <f aca="false">Config!C14</f>
        <v>26</v>
      </c>
      <c r="G13" s="13" t="n">
        <f aca="false">Config!D14</f>
        <v>3</v>
      </c>
      <c r="H13" s="27" t="n">
        <f aca="false">IF(AND(ISNUMBER(D13),F13&gt;0,G13&gt;0),D13/(F13*G13),"")</f>
        <v>4.91320512820513</v>
      </c>
    </row>
    <row r="14" customFormat="false" ht="15" hidden="false" customHeight="true" outlineLevel="0" collapsed="false">
      <c r="A14" s="11" t="str">
        <f aca="false">Config!B14</f>
        <v>La Honda</v>
      </c>
      <c r="B14" s="11" t="s">
        <v>32</v>
      </c>
      <c r="C14" s="24" t="s">
        <v>48</v>
      </c>
      <c r="D14" s="25" t="n">
        <v>163.8</v>
      </c>
      <c r="E14" s="26" t="s">
        <v>34</v>
      </c>
      <c r="F14" s="13" t="n">
        <f aca="false">Config!C14</f>
        <v>26</v>
      </c>
      <c r="G14" s="13" t="n">
        <f aca="false">Config!D14</f>
        <v>3</v>
      </c>
      <c r="H14" s="27" t="n">
        <f aca="false">IF(AND(ISNUMBER(D14),F14&gt;0,G14&gt;0),D14/(F14*G14),"")</f>
        <v>2.1</v>
      </c>
    </row>
    <row r="15" customFormat="false" ht="15" hidden="false" customHeight="true" outlineLevel="0" collapsed="false">
      <c r="A15" s="11" t="str">
        <f aca="false">Config!B14</f>
        <v>La Honda</v>
      </c>
      <c r="B15" s="11" t="s">
        <v>32</v>
      </c>
      <c r="C15" s="24" t="s">
        <v>49</v>
      </c>
      <c r="D15" s="25" t="n">
        <v>84.56</v>
      </c>
      <c r="E15" s="26" t="s">
        <v>34</v>
      </c>
      <c r="F15" s="13" t="n">
        <f aca="false">Config!C14</f>
        <v>26</v>
      </c>
      <c r="G15" s="13" t="n">
        <f aca="false">Config!D14</f>
        <v>3</v>
      </c>
      <c r="H15" s="27" t="n">
        <f aca="false">IF(AND(ISNUMBER(D15),F15&gt;0,G15&gt;0),D15/(F15*G15),"")</f>
        <v>1.08410256410256</v>
      </c>
    </row>
    <row r="16" customFormat="false" ht="15" hidden="false" customHeight="true" outlineLevel="0" collapsed="false">
      <c r="A16" s="11" t="str">
        <f aca="false">Config!B14</f>
        <v>La Honda</v>
      </c>
      <c r="B16" s="11" t="s">
        <v>32</v>
      </c>
      <c r="C16" s="24" t="s">
        <v>50</v>
      </c>
      <c r="D16" s="25" t="n">
        <v>33.21</v>
      </c>
      <c r="E16" s="26" t="s">
        <v>34</v>
      </c>
      <c r="F16" s="13" t="n">
        <f aca="false">Config!C14</f>
        <v>26</v>
      </c>
      <c r="G16" s="13" t="n">
        <f aca="false">Config!D14</f>
        <v>3</v>
      </c>
      <c r="H16" s="27" t="n">
        <f aca="false">IF(AND(ISNUMBER(D16),F16&gt;0,G16&gt;0),D16/(F16*G16),"")</f>
        <v>0.425769230769231</v>
      </c>
    </row>
    <row r="17" customFormat="false" ht="15" hidden="false" customHeight="true" outlineLevel="0" collapsed="false">
      <c r="A17" s="35" t="str">
        <f aca="false">Config!B14</f>
        <v>La Honda</v>
      </c>
      <c r="B17" s="35" t="s">
        <v>32</v>
      </c>
      <c r="C17" s="36" t="s">
        <v>51</v>
      </c>
      <c r="D17" s="37" t="n">
        <v>400</v>
      </c>
      <c r="E17" s="38" t="s">
        <v>52</v>
      </c>
      <c r="F17" s="39" t="n">
        <f aca="false">Config!C14</f>
        <v>26</v>
      </c>
      <c r="G17" s="39" t="n">
        <f aca="false">Config!D14</f>
        <v>3</v>
      </c>
      <c r="H17" s="40" t="n">
        <f aca="false">IF(AND(ISNUMBER(D17),F17&gt;0,G17&gt;0),D17/(F17*G17),"")</f>
        <v>5.12820512820513</v>
      </c>
    </row>
    <row r="18" customFormat="false" ht="15" hidden="false" customHeight="true" outlineLevel="0" collapsed="false">
      <c r="A18" s="19" t="str">
        <f aca="false">Config!B15</f>
        <v>High Sierra 50-Miler</v>
      </c>
      <c r="B18" s="19" t="s">
        <v>32</v>
      </c>
      <c r="C18" s="41" t="s">
        <v>53</v>
      </c>
      <c r="D18" s="42" t="n">
        <f aca="false">Config!$B$8*Config!D15*Config!C15</f>
        <v>3549</v>
      </c>
      <c r="E18" s="43" t="s">
        <v>54</v>
      </c>
      <c r="F18" s="21" t="n">
        <f aca="false">Config!C15</f>
        <v>26</v>
      </c>
      <c r="G18" s="21" t="n">
        <f aca="false">Config!D15</f>
        <v>7</v>
      </c>
      <c r="H18" s="44" t="n">
        <f aca="false">IF(AND(ISNUMBER(D18),F18&gt;0,G18&gt;0),D18/(F18*G18),"")</f>
        <v>19.5</v>
      </c>
    </row>
    <row r="19" customFormat="false" ht="15" hidden="false" customHeight="true" outlineLevel="0" collapsed="false">
      <c r="A19" s="29" t="str">
        <f aca="false">Config!B15</f>
        <v>High Sierra 50-Miler</v>
      </c>
      <c r="B19" s="29" t="s">
        <v>40</v>
      </c>
      <c r="C19" s="30" t="s">
        <v>55</v>
      </c>
      <c r="D19" s="31" t="s">
        <v>42</v>
      </c>
      <c r="E19" s="32" t="s">
        <v>42</v>
      </c>
      <c r="F19" s="33" t="n">
        <f aca="false">Config!C15</f>
        <v>26</v>
      </c>
      <c r="G19" s="33" t="n">
        <f aca="false">Config!D15</f>
        <v>7</v>
      </c>
      <c r="H19" s="34" t="s">
        <v>39</v>
      </c>
    </row>
    <row r="20" customFormat="false" ht="15" hidden="false" customHeight="true" outlineLevel="0" collapsed="false">
      <c r="A20" s="19" t="n">
        <f aca="false">Config!B16</f>
        <v>0</v>
      </c>
      <c r="B20" s="19" t="s">
        <v>32</v>
      </c>
      <c r="C20" s="41" t="s">
        <v>56</v>
      </c>
      <c r="D20" s="42" t="n">
        <f aca="false">Config!$B$8*Config!D16*Config!C16</f>
        <v>0</v>
      </c>
      <c r="E20" s="43" t="s">
        <v>54</v>
      </c>
      <c r="F20" s="21" t="n">
        <f aca="false">Config!C16</f>
        <v>0</v>
      </c>
      <c r="G20" s="21" t="n">
        <f aca="false">Config!D16</f>
        <v>0</v>
      </c>
      <c r="H20" s="44" t="str">
        <f aca="false">IF(AND(ISNUMBER(D20),F20&gt;0,G20&gt;0),D20/(F20*G20),"")</f>
        <v/>
      </c>
    </row>
    <row r="21" customFormat="false" ht="15" hidden="false" customHeight="true" outlineLevel="0" collapsed="false">
      <c r="A21" s="19" t="n">
        <f aca="false">Config!B16</f>
        <v>0</v>
      </c>
      <c r="B21" s="19" t="s">
        <v>57</v>
      </c>
      <c r="C21" s="41" t="s">
        <v>58</v>
      </c>
      <c r="D21" s="45" t="n">
        <v>500</v>
      </c>
      <c r="E21" s="43" t="s">
        <v>54</v>
      </c>
      <c r="F21" s="21" t="n">
        <f aca="false">Config!C16</f>
        <v>0</v>
      </c>
      <c r="G21" s="21" t="n">
        <f aca="false">Config!D16</f>
        <v>0</v>
      </c>
      <c r="H21" s="46" t="s">
        <v>39</v>
      </c>
    </row>
    <row r="22" customFormat="false" ht="15" hidden="false" customHeight="true" outlineLevel="0" collapsed="false">
      <c r="A22" s="19" t="n">
        <f aca="false">Config!B16</f>
        <v>0</v>
      </c>
      <c r="B22" s="19" t="s">
        <v>40</v>
      </c>
      <c r="C22" s="41" t="s">
        <v>59</v>
      </c>
      <c r="D22" s="45" t="n">
        <v>500</v>
      </c>
      <c r="E22" s="43" t="s">
        <v>54</v>
      </c>
      <c r="F22" s="21" t="n">
        <f aca="false">Config!C16</f>
        <v>0</v>
      </c>
      <c r="G22" s="21" t="n">
        <f aca="false">Config!D16</f>
        <v>0</v>
      </c>
      <c r="H22" s="46" t="s">
        <v>39</v>
      </c>
    </row>
    <row r="23" customFormat="false" ht="15" hidden="false" customHeight="true" outlineLevel="0" collapsed="false">
      <c r="A23" s="19" t="n">
        <f aca="false">Config!B16</f>
        <v>0</v>
      </c>
      <c r="B23" s="19" t="s">
        <v>60</v>
      </c>
      <c r="C23" s="41" t="s">
        <v>61</v>
      </c>
      <c r="D23" s="45" t="n">
        <v>500</v>
      </c>
      <c r="E23" s="43" t="s">
        <v>54</v>
      </c>
      <c r="F23" s="21" t="n">
        <f aca="false">Config!C16</f>
        <v>0</v>
      </c>
      <c r="G23" s="21" t="n">
        <f aca="false">Config!D16</f>
        <v>0</v>
      </c>
      <c r="H23" s="46" t="s">
        <v>39</v>
      </c>
    </row>
    <row r="25" customFormat="false" ht="15" hidden="false" customHeight="true" outlineLevel="0" collapsed="false">
      <c r="A25" s="47" t="s">
        <v>62</v>
      </c>
      <c r="B25" s="47"/>
      <c r="C25" s="48" t="s">
        <v>63</v>
      </c>
      <c r="D25" s="49" t="n">
        <f aca="false">SUMIF(E4:E23,"confirmed",D4:D23)</f>
        <v>2029.89</v>
      </c>
      <c r="E25" s="50"/>
      <c r="F25" s="50"/>
      <c r="G25" s="50"/>
      <c r="H25" s="50"/>
    </row>
    <row r="26" customFormat="false" ht="15" hidden="false" customHeight="true" outlineLevel="0" collapsed="false">
      <c r="A26" s="51" t="s">
        <v>64</v>
      </c>
      <c r="B26" s="51"/>
      <c r="C26" s="52"/>
      <c r="D26" s="53" t="n">
        <f aca="false">SUMIF(E4:E23,"pending",D4:D23)</f>
        <v>400</v>
      </c>
      <c r="E26" s="54"/>
      <c r="F26" s="54"/>
      <c r="G26" s="54"/>
      <c r="H26" s="54"/>
    </row>
    <row r="27" customFormat="false" ht="15" hidden="false" customHeight="true" outlineLevel="0" collapsed="false">
      <c r="A27" s="55" t="s">
        <v>65</v>
      </c>
      <c r="B27" s="55"/>
      <c r="C27" s="52"/>
      <c r="D27" s="56" t="n">
        <f aca="false">SUMIF(E4:E23,"estimated",D4:D23)</f>
        <v>5049</v>
      </c>
      <c r="E27" s="57"/>
      <c r="F27" s="57"/>
      <c r="G27" s="57"/>
      <c r="H27" s="57"/>
    </row>
    <row r="29" customFormat="false" ht="15" hidden="false" customHeight="true" outlineLevel="0" collapsed="false">
      <c r="A29" s="58" t="s">
        <v>66</v>
      </c>
      <c r="B29" s="58"/>
      <c r="C29" s="58"/>
      <c r="D29" s="59" t="n">
        <f aca="false">D25+D26+D27</f>
        <v>7478.89</v>
      </c>
      <c r="E29" s="60"/>
      <c r="F29" s="60"/>
      <c r="G29" s="60"/>
      <c r="H29" s="60"/>
    </row>
    <row r="30" customFormat="false" ht="15" hidden="false" customHeight="true" outlineLevel="0" collapsed="false">
      <c r="A30" s="61" t="s">
        <v>67</v>
      </c>
      <c r="B30" s="61"/>
      <c r="C30" s="61"/>
      <c r="D30" s="62" t="n">
        <f aca="false">Config!B7</f>
        <v>6500</v>
      </c>
      <c r="E30" s="52"/>
      <c r="F30" s="52"/>
      <c r="G30" s="52"/>
      <c r="H30" s="52"/>
    </row>
    <row r="31" customFormat="false" ht="15" hidden="false" customHeight="true" outlineLevel="0" collapsed="false">
      <c r="A31" s="63" t="s">
        <v>68</v>
      </c>
      <c r="B31" s="63"/>
      <c r="C31" s="63"/>
      <c r="D31" s="64" t="n">
        <f aca="false">D30-D29</f>
        <v>-978.89</v>
      </c>
      <c r="E31" s="65"/>
      <c r="F31" s="65"/>
      <c r="G31" s="65"/>
      <c r="H31" s="65"/>
    </row>
  </sheetData>
  <mergeCells count="8">
    <mergeCell ref="A1:H1"/>
    <mergeCell ref="A2:H2"/>
    <mergeCell ref="A25:B25"/>
    <mergeCell ref="A26:B26"/>
    <mergeCell ref="A27:B27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66" t="s">
        <v>69</v>
      </c>
      <c r="B1" s="66"/>
      <c r="C1" s="66"/>
      <c r="D1" s="66"/>
      <c r="E1" s="66"/>
      <c r="F1" s="66"/>
      <c r="G1" s="66"/>
    </row>
    <row r="2" customFormat="false" ht="15" hidden="false" customHeight="true" outlineLevel="0" collapsed="false">
      <c r="A2" s="3" t="s">
        <v>70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7" t="s">
        <v>71</v>
      </c>
      <c r="B4" s="67"/>
      <c r="C4" s="67"/>
      <c r="D4" s="67"/>
      <c r="E4" s="67"/>
      <c r="F4" s="67"/>
      <c r="G4" s="67"/>
    </row>
    <row r="5" customFormat="false" ht="15" hidden="false" customHeight="true" outlineLevel="0" collapsed="false">
      <c r="A5" s="5" t="s">
        <v>72</v>
      </c>
      <c r="B5" s="68" t="n">
        <f aca="false">Config!B7</f>
        <v>6500</v>
      </c>
      <c r="C5" s="69"/>
      <c r="D5" s="69"/>
      <c r="E5" s="69"/>
      <c r="F5" s="69"/>
      <c r="G5" s="69"/>
    </row>
    <row r="6" customFormat="false" ht="15" hidden="false" customHeight="true" outlineLevel="0" collapsed="false">
      <c r="A6" s="5" t="s">
        <v>73</v>
      </c>
      <c r="B6" s="70" t="n">
        <f aca="false">'Line Items'!D25</f>
        <v>2029.89</v>
      </c>
      <c r="C6" s="69"/>
      <c r="D6" s="69"/>
      <c r="E6" s="69"/>
      <c r="F6" s="69"/>
      <c r="G6" s="69"/>
    </row>
    <row r="7" customFormat="false" ht="15" hidden="false" customHeight="true" outlineLevel="0" collapsed="false">
      <c r="A7" s="5" t="s">
        <v>74</v>
      </c>
      <c r="B7" s="71" t="n">
        <f aca="false">'Line Items'!D26</f>
        <v>400</v>
      </c>
      <c r="C7" s="69"/>
      <c r="D7" s="69"/>
      <c r="E7" s="69"/>
      <c r="F7" s="69"/>
      <c r="G7" s="69"/>
    </row>
    <row r="8" customFormat="false" ht="15" hidden="false" customHeight="true" outlineLevel="0" collapsed="false">
      <c r="A8" s="5" t="s">
        <v>75</v>
      </c>
      <c r="B8" s="72" t="n">
        <f aca="false">'Line Items'!D27</f>
        <v>5049</v>
      </c>
      <c r="C8" s="69"/>
      <c r="D8" s="69"/>
      <c r="E8" s="69"/>
      <c r="F8" s="69"/>
      <c r="G8" s="69"/>
    </row>
    <row r="9" customFormat="false" ht="15" hidden="false" customHeight="true" outlineLevel="0" collapsed="false">
      <c r="A9" s="5" t="s">
        <v>76</v>
      </c>
      <c r="B9" s="73" t="n">
        <f aca="false">'Line Items'!D29</f>
        <v>7478.89</v>
      </c>
      <c r="C9" s="69"/>
      <c r="D9" s="69"/>
      <c r="E9" s="69"/>
      <c r="F9" s="69"/>
      <c r="G9" s="69"/>
    </row>
    <row r="10" customFormat="false" ht="15" hidden="false" customHeight="true" outlineLevel="0" collapsed="false">
      <c r="A10" s="5" t="s">
        <v>77</v>
      </c>
      <c r="B10" s="70" t="n">
        <f aca="false">'Line Items'!D31</f>
        <v>-978.89</v>
      </c>
      <c r="C10" s="69"/>
      <c r="D10" s="69"/>
      <c r="E10" s="69"/>
      <c r="F10" s="69"/>
      <c r="G10" s="69"/>
    </row>
    <row r="12" customFormat="false" ht="15" hidden="false" customHeight="true" outlineLevel="0" collapsed="false">
      <c r="A12" s="74" t="s">
        <v>78</v>
      </c>
      <c r="B12" s="74"/>
      <c r="C12" s="74"/>
      <c r="D12" s="74"/>
      <c r="E12" s="74"/>
      <c r="F12" s="74"/>
      <c r="G12" s="74"/>
    </row>
    <row r="13" customFormat="false" ht="15" hidden="false" customHeight="true" outlineLevel="0" collapsed="false">
      <c r="A13" s="10" t="s">
        <v>27</v>
      </c>
      <c r="B13" s="10" t="s">
        <v>10</v>
      </c>
      <c r="C13" s="10" t="s">
        <v>11</v>
      </c>
      <c r="D13" s="10" t="s">
        <v>79</v>
      </c>
      <c r="E13" s="10" t="s">
        <v>80</v>
      </c>
      <c r="F13" s="10" t="s">
        <v>31</v>
      </c>
      <c r="G13" s="10" t="s">
        <v>12</v>
      </c>
    </row>
    <row r="14" customFormat="false" ht="15" hidden="false" customHeight="true" outlineLevel="0" collapsed="false">
      <c r="A14" s="75" t="s">
        <v>15</v>
      </c>
      <c r="B14" s="13" t="n">
        <v>14</v>
      </c>
      <c r="C14" s="13" t="n">
        <v>2</v>
      </c>
      <c r="D14" s="76" t="n">
        <f aca="false">SUMIF('Line Items'!A4:A23,"Point Reyes",'Line Items'!D4:D23)</f>
        <v>0</v>
      </c>
      <c r="E14" s="27" t="str">
        <f aca="false">IF(D14&gt;0,D14/14,"")</f>
        <v/>
      </c>
      <c r="F14" s="27" t="str">
        <f aca="false">IF(D14&gt;0,D14/(14*2),"")</f>
        <v/>
      </c>
      <c r="G14" s="77" t="s">
        <v>81</v>
      </c>
    </row>
    <row r="15" customFormat="false" ht="15" hidden="false" customHeight="true" outlineLevel="0" collapsed="false">
      <c r="A15" s="78" t="s">
        <v>18</v>
      </c>
      <c r="B15" s="17" t="n">
        <v>26</v>
      </c>
      <c r="C15" s="17" t="n">
        <v>3</v>
      </c>
      <c r="D15" s="79" t="n">
        <f aca="false">SUMIF('Line Items'!A4:A23,"Spring Prep / Ohlone",'Line Items'!D4:D23)</f>
        <v>845.49</v>
      </c>
      <c r="E15" s="80" t="n">
        <f aca="false">IF(D15&gt;0,D15/26,"")</f>
        <v>32.5188461538462</v>
      </c>
      <c r="F15" s="80" t="n">
        <f aca="false">IF(D15&gt;0,D15/(26*3),"")</f>
        <v>10.8396153846154</v>
      </c>
      <c r="G15" s="81" t="s">
        <v>82</v>
      </c>
    </row>
    <row r="16" customFormat="false" ht="15" hidden="false" customHeight="true" outlineLevel="0" collapsed="false">
      <c r="A16" s="82" t="s">
        <v>21</v>
      </c>
      <c r="B16" s="21" t="n">
        <v>26</v>
      </c>
      <c r="C16" s="21" t="n">
        <v>3</v>
      </c>
      <c r="D16" s="83" t="n">
        <f aca="false">SUMIF('Line Items'!A4:A23,"La Honda",'Line Items'!D4:D23)</f>
        <v>1584.4</v>
      </c>
      <c r="E16" s="44" t="n">
        <f aca="false">IF(D16&gt;0,D16/26,"")</f>
        <v>60.9384615384615</v>
      </c>
      <c r="F16" s="44" t="n">
        <f aca="false">IF(D16&gt;0,D16/(26*3),"")</f>
        <v>20.3128205128205</v>
      </c>
      <c r="G16" s="84" t="s">
        <v>83</v>
      </c>
    </row>
    <row r="17" customFormat="false" ht="15" hidden="false" customHeight="true" outlineLevel="0" collapsed="false">
      <c r="A17" s="85" t="s">
        <v>24</v>
      </c>
      <c r="B17" s="86" t="n">
        <v>26</v>
      </c>
      <c r="C17" s="86" t="n">
        <v>7</v>
      </c>
      <c r="D17" s="87" t="n">
        <f aca="false">SUMIF('Line Items'!A4:A23,"High Sierra 50-Miler",'Line Items'!D4:D23)</f>
        <v>3549</v>
      </c>
      <c r="E17" s="88" t="n">
        <f aca="false">IF(D17&gt;0,D17/26,"")</f>
        <v>136.5</v>
      </c>
      <c r="F17" s="88" t="n">
        <f aca="false">IF(D17&gt;0,D17/(26*7),"")</f>
        <v>19.5</v>
      </c>
      <c r="G17" s="89" t="s">
        <v>84</v>
      </c>
    </row>
    <row r="19" customFormat="false" ht="15" hidden="false" customHeight="true" outlineLevel="0" collapsed="false">
      <c r="A19" s="67" t="s">
        <v>85</v>
      </c>
      <c r="B19" s="67"/>
      <c r="C19" s="67"/>
      <c r="D19" s="59" t="n">
        <f aca="false">'Line Items'!D29/Config!B5</f>
        <v>287.649615384615</v>
      </c>
      <c r="E19" s="90" t="s">
        <v>86</v>
      </c>
      <c r="F19" s="91" t="n">
        <f aca="false">Config!B6</f>
        <v>250</v>
      </c>
      <c r="G19" s="92" t="n">
        <f aca="false">'Line Items'!D31/Config!B5</f>
        <v>-37.6496153846154</v>
      </c>
    </row>
  </sheetData>
  <mergeCells count="5">
    <mergeCell ref="A1:G1"/>
    <mergeCell ref="A2:G2"/>
    <mergeCell ref="A4:G4"/>
    <mergeCell ref="A12:G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66" t="s">
        <v>87</v>
      </c>
      <c r="B1" s="66"/>
    </row>
    <row r="3" customFormat="false" ht="30" hidden="false" customHeight="true" outlineLevel="0" collapsed="false">
      <c r="A3" s="93" t="s">
        <v>88</v>
      </c>
      <c r="B3" s="30" t="s">
        <v>89</v>
      </c>
    </row>
    <row r="4" customFormat="false" ht="30" hidden="false" customHeight="true" outlineLevel="0" collapsed="false">
      <c r="A4" s="93" t="s">
        <v>90</v>
      </c>
      <c r="B4" s="30" t="s">
        <v>91</v>
      </c>
    </row>
    <row r="5" customFormat="false" ht="30" hidden="false" customHeight="true" outlineLevel="0" collapsed="false">
      <c r="A5" s="93" t="s">
        <v>92</v>
      </c>
      <c r="B5" s="30" t="s">
        <v>93</v>
      </c>
    </row>
    <row r="6" customFormat="false" ht="30" hidden="false" customHeight="true" outlineLevel="0" collapsed="false">
      <c r="A6" s="93" t="s">
        <v>94</v>
      </c>
      <c r="B6" s="30" t="s">
        <v>95</v>
      </c>
    </row>
    <row r="7" customFormat="false" ht="30" hidden="false" customHeight="true" outlineLevel="0" collapsed="false">
      <c r="A7" s="93" t="s">
        <v>96</v>
      </c>
      <c r="B7" s="30" t="s">
        <v>97</v>
      </c>
    </row>
    <row r="8" customFormat="false" ht="30" hidden="false" customHeight="true" outlineLevel="0" collapsed="false">
      <c r="A8" s="93" t="s">
        <v>98</v>
      </c>
      <c r="B8" s="30" t="s">
        <v>99</v>
      </c>
    </row>
    <row r="9" customFormat="false" ht="30" hidden="false" customHeight="true" outlineLevel="0" collapsed="false">
      <c r="A9" s="93" t="s">
        <v>100</v>
      </c>
      <c r="B9" s="30" t="s">
        <v>101</v>
      </c>
    </row>
    <row r="10" customFormat="false" ht="30" hidden="false" customHeight="true" outlineLevel="0" collapsed="false">
      <c r="A10" s="93" t="s">
        <v>102</v>
      </c>
      <c r="B10" s="30" t="s">
        <v>103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2026-03-30T02:58:11Z</dcterms:created>
  <dc:creator>openpyxl</dc:creator>
  <dc:description/>
  <dc:language>en-US</dc:language>
  <cp:lastModifiedBy/>
  <dcterms:modified xsi:type="dcterms:W3CDTF">2026-03-30T02:58:49Z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